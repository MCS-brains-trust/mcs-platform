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6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164" fontId="2" fillId="9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10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7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Wages &amp; Payroll Reconciliation Workpaper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PAYROLL SUMMARY</t>
        </is>
      </c>
    </row>
    <row r="5" ht="18" customHeight="1">
      <c r="A5" s="7" t="inlineStr">
        <is>
          <t>Quarter</t>
        </is>
      </c>
      <c r="B5" s="7" t="inlineStr">
        <is>
          <t>Gross Wages</t>
        </is>
      </c>
      <c r="C5" s="7" t="inlineStr">
        <is>
          <t>PAYG Withheld</t>
        </is>
      </c>
      <c r="D5" s="7" t="inlineStr">
        <is>
          <t>Superannuation</t>
        </is>
      </c>
      <c r="E5" s="7" t="inlineStr">
        <is>
          <t>Net Wages</t>
        </is>
      </c>
      <c r="F5" s="7" t="inlineStr">
        <is>
          <t>Per Accounts</t>
        </is>
      </c>
      <c r="G5" s="7" t="inlineStr">
        <is>
          <t>Variance</t>
        </is>
      </c>
      <c r="H5" s="8" t="n"/>
      <c r="I5" s="8" t="n"/>
      <c r="J5" s="8" t="n"/>
    </row>
    <row r="6" ht="16" customHeight="1">
      <c r="A6" s="9" t="inlineStr">
        <is>
          <t>Q1 Jul–Sep</t>
        </is>
      </c>
      <c r="B6" s="10" t="inlineStr"/>
      <c r="C6" s="10" t="inlineStr"/>
      <c r="D6" s="10" t="inlineStr"/>
      <c r="E6" s="11">
        <f>B6-C6-D6</f>
        <v/>
      </c>
      <c r="F6" s="10" t="inlineStr"/>
      <c r="G6" s="12">
        <f>E6-F6</f>
        <v/>
      </c>
      <c r="H6" s="5" t="n"/>
      <c r="I6" s="5" t="n"/>
      <c r="J6" s="5" t="n"/>
    </row>
    <row r="7" ht="16" customHeight="1">
      <c r="A7" s="9" t="inlineStr">
        <is>
          <t>Q2 Oct–Dec</t>
        </is>
      </c>
      <c r="B7" s="10" t="inlineStr"/>
      <c r="C7" s="10" t="inlineStr"/>
      <c r="D7" s="10" t="inlineStr"/>
      <c r="E7" s="11">
        <f>B7-C7-D7</f>
        <v/>
      </c>
      <c r="F7" s="10" t="inlineStr"/>
      <c r="G7" s="12">
        <f>E7-F7</f>
        <v/>
      </c>
      <c r="H7" s="5" t="n"/>
      <c r="I7" s="5" t="n"/>
      <c r="J7" s="5" t="n"/>
    </row>
    <row r="8" ht="16" customHeight="1">
      <c r="A8" s="9" t="inlineStr">
        <is>
          <t>Q3 Jan–Mar</t>
        </is>
      </c>
      <c r="B8" s="10" t="inlineStr"/>
      <c r="C8" s="10" t="inlineStr"/>
      <c r="D8" s="10" t="inlineStr"/>
      <c r="E8" s="11">
        <f>B8-C8-D8</f>
        <v/>
      </c>
      <c r="F8" s="10" t="inlineStr"/>
      <c r="G8" s="12">
        <f>E8-F8</f>
        <v/>
      </c>
      <c r="H8" s="5" t="n"/>
      <c r="I8" s="5" t="n"/>
      <c r="J8" s="5" t="n"/>
    </row>
    <row r="9" ht="16" customHeight="1">
      <c r="A9" s="9" t="inlineStr">
        <is>
          <t>Q4 Apr–Jun</t>
        </is>
      </c>
      <c r="B9" s="10" t="inlineStr"/>
      <c r="C9" s="10" t="inlineStr"/>
      <c r="D9" s="10" t="inlineStr"/>
      <c r="E9" s="11">
        <f>B9-C9-D9</f>
        <v/>
      </c>
      <c r="F9" s="10" t="inlineStr"/>
      <c r="G9" s="12">
        <f>E9-F9</f>
        <v/>
      </c>
      <c r="H9" s="5" t="n"/>
      <c r="I9" s="5" t="n"/>
      <c r="J9" s="5" t="n"/>
    </row>
    <row r="10" ht="16" customHeight="1">
      <c r="A10" s="13" t="inlineStr">
        <is>
          <t>TOTAL</t>
        </is>
      </c>
      <c r="B10" s="14">
        <f>SUM(B6:B9)</f>
        <v/>
      </c>
      <c r="C10" s="14">
        <f>SUM(C6:C9)</f>
        <v/>
      </c>
      <c r="D10" s="14">
        <f>SUM(D6:D9)</f>
        <v/>
      </c>
      <c r="E10" s="14">
        <f>SUM(E6:E9)</f>
        <v/>
      </c>
      <c r="F10" s="14">
        <f>SUM(F6:F9)</f>
        <v/>
      </c>
      <c r="G10" s="15">
        <f>SUM(G6:G9)</f>
        <v/>
      </c>
      <c r="H10" s="5" t="n"/>
      <c r="I10" s="5" t="n"/>
      <c r="J10" s="5" t="n"/>
    </row>
    <row r="11" ht="6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20" customHeight="1">
      <c r="A12" s="6" t="inlineStr">
        <is>
          <t>B.  STP RECONCILIATION</t>
        </is>
      </c>
    </row>
    <row r="13" ht="18" customHeight="1">
      <c r="A13" s="7" t="inlineStr">
        <is>
          <t>Item</t>
        </is>
      </c>
      <c r="B13" s="7" t="inlineStr">
        <is>
          <t>Per STP</t>
        </is>
      </c>
      <c r="C13" s="7" t="inlineStr">
        <is>
          <t>Per Accounts</t>
        </is>
      </c>
      <c r="D13" s="7" t="inlineStr">
        <is>
          <t>Variance</t>
        </is>
      </c>
      <c r="E13" s="7" t="inlineStr">
        <is>
          <t>Status</t>
        </is>
      </c>
      <c r="F13" s="8" t="n"/>
      <c r="G13" s="8" t="n"/>
      <c r="H13" s="8" t="n"/>
      <c r="I13" s="8" t="n"/>
      <c r="J13" s="8" t="n"/>
    </row>
    <row r="14" ht="16" customHeight="1">
      <c r="A14" s="9" t="inlineStr">
        <is>
          <t>Gross wages</t>
        </is>
      </c>
      <c r="B14" s="10" t="inlineStr"/>
      <c r="C14" s="10" t="inlineStr"/>
      <c r="D14" s="12">
        <f>B14-C14</f>
        <v/>
      </c>
      <c r="E14" s="16" t="inlineStr"/>
      <c r="F14" s="5" t="n"/>
      <c r="G14" s="5" t="n"/>
      <c r="H14" s="5" t="n"/>
      <c r="I14" s="5" t="n"/>
      <c r="J14" s="5" t="n"/>
    </row>
    <row r="15" ht="16" customHeight="1">
      <c r="A15" s="9" t="inlineStr">
        <is>
          <t>PAYG withholding</t>
        </is>
      </c>
      <c r="B15" s="10" t="inlineStr"/>
      <c r="C15" s="10" t="inlineStr"/>
      <c r="D15" s="12">
        <f>B15-C15</f>
        <v/>
      </c>
      <c r="E15" s="16" t="inlineStr"/>
      <c r="F15" s="5" t="n"/>
      <c r="G15" s="5" t="n"/>
      <c r="H15" s="5" t="n"/>
      <c r="I15" s="5" t="n"/>
      <c r="J15" s="5" t="n"/>
    </row>
    <row r="16" ht="16" customHeight="1">
      <c r="A16" s="9" t="inlineStr">
        <is>
          <t>Superannuation</t>
        </is>
      </c>
      <c r="B16" s="10" t="inlineStr"/>
      <c r="C16" s="10" t="inlineStr"/>
      <c r="D16" s="12">
        <f>B16-C16</f>
        <v/>
      </c>
      <c r="E16" s="16" t="inlineStr"/>
      <c r="F16" s="5" t="n"/>
      <c r="G16" s="5" t="n"/>
      <c r="H16" s="5" t="n"/>
      <c r="I16" s="5" t="n"/>
      <c r="J16" s="5" t="n"/>
    </row>
    <row r="17" ht="16" customHeight="1">
      <c r="A17" s="9" t="inlineStr">
        <is>
          <t>Reportable fringe benefits</t>
        </is>
      </c>
      <c r="B17" s="10" t="inlineStr"/>
      <c r="C17" s="10" t="inlineStr"/>
      <c r="D17" s="12">
        <f>B17-C17</f>
        <v/>
      </c>
      <c r="E17" s="16" t="inlineStr"/>
      <c r="F17" s="5" t="n"/>
      <c r="G17" s="5" t="n"/>
      <c r="H17" s="5" t="n"/>
      <c r="I17" s="5" t="n"/>
      <c r="J17" s="5" t="n"/>
    </row>
    <row r="18" ht="16" customHeight="1">
      <c r="A18" s="9" t="inlineStr">
        <is>
          <t>Reportable employer super</t>
        </is>
      </c>
      <c r="B18" s="10" t="inlineStr"/>
      <c r="C18" s="10" t="inlineStr"/>
      <c r="D18" s="12">
        <f>B18-C18</f>
        <v/>
      </c>
      <c r="E18" s="16" t="inlineStr"/>
      <c r="F18" s="5" t="n"/>
      <c r="G18" s="5" t="n"/>
      <c r="H18" s="5" t="n"/>
      <c r="I18" s="5" t="n"/>
      <c r="J18" s="5" t="n"/>
    </row>
    <row r="19" ht="6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20" customHeight="1">
      <c r="A20" s="6" t="inlineStr">
        <is>
          <t>C.  SUPERANNUATION CHECK</t>
        </is>
      </c>
    </row>
    <row r="21" ht="18" customHeight="1">
      <c r="A21" s="7" t="inlineStr">
        <is>
          <t>Quarter</t>
        </is>
      </c>
      <c r="B21" s="7" t="inlineStr">
        <is>
          <t>OTE</t>
        </is>
      </c>
      <c r="C21" s="7" t="inlineStr">
        <is>
          <t>SG Rate</t>
        </is>
      </c>
      <c r="D21" s="7" t="inlineStr">
        <is>
          <t>SG Required</t>
        </is>
      </c>
      <c r="E21" s="7" t="inlineStr">
        <is>
          <t>SG Paid</t>
        </is>
      </c>
      <c r="F21" s="7" t="inlineStr">
        <is>
          <t>Shortfall</t>
        </is>
      </c>
      <c r="G21" s="7" t="inlineStr">
        <is>
          <t>Due Date</t>
        </is>
      </c>
      <c r="H21" s="8" t="n"/>
      <c r="I21" s="8" t="n"/>
      <c r="J21" s="8" t="n"/>
    </row>
    <row r="22" ht="16" customHeight="1">
      <c r="A22" s="9" t="inlineStr">
        <is>
          <t>Q1 Jul–Sep</t>
        </is>
      </c>
      <c r="B22" s="10" t="inlineStr"/>
      <c r="C22" s="17" t="inlineStr"/>
      <c r="D22" s="11">
        <f>B22*C22</f>
        <v/>
      </c>
      <c r="E22" s="10" t="inlineStr"/>
      <c r="F22" s="12">
        <f>D22-E22</f>
        <v/>
      </c>
      <c r="G22" s="16" t="inlineStr"/>
      <c r="H22" s="5" t="n"/>
      <c r="I22" s="5" t="n"/>
      <c r="J22" s="5" t="n"/>
    </row>
    <row r="23" ht="16" customHeight="1">
      <c r="A23" s="9" t="inlineStr">
        <is>
          <t>Q2 Oct–Dec</t>
        </is>
      </c>
      <c r="B23" s="10" t="inlineStr"/>
      <c r="C23" s="17" t="inlineStr"/>
      <c r="D23" s="11">
        <f>B23*C23</f>
        <v/>
      </c>
      <c r="E23" s="10" t="inlineStr"/>
      <c r="F23" s="12">
        <f>D23-E23</f>
        <v/>
      </c>
      <c r="G23" s="16" t="inlineStr"/>
      <c r="H23" s="5" t="n"/>
      <c r="I23" s="5" t="n"/>
      <c r="J23" s="5" t="n"/>
    </row>
    <row r="24" ht="16" customHeight="1">
      <c r="A24" s="9" t="inlineStr">
        <is>
          <t>Q3 Jan–Mar</t>
        </is>
      </c>
      <c r="B24" s="10" t="inlineStr"/>
      <c r="C24" s="17" t="inlineStr"/>
      <c r="D24" s="11">
        <f>B24*C24</f>
        <v/>
      </c>
      <c r="E24" s="10" t="inlineStr"/>
      <c r="F24" s="12">
        <f>D24-E24</f>
        <v/>
      </c>
      <c r="G24" s="16" t="inlineStr"/>
      <c r="H24" s="5" t="n"/>
      <c r="I24" s="5" t="n"/>
      <c r="J24" s="5" t="n"/>
    </row>
    <row r="25" ht="16" customHeight="1">
      <c r="A25" s="9" t="inlineStr">
        <is>
          <t>Q4 Apr–Jun</t>
        </is>
      </c>
      <c r="B25" s="10" t="inlineStr"/>
      <c r="C25" s="17" t="inlineStr"/>
      <c r="D25" s="11">
        <f>B25*C25</f>
        <v/>
      </c>
      <c r="E25" s="10" t="inlineStr"/>
      <c r="F25" s="12">
        <f>D25-E25</f>
        <v/>
      </c>
      <c r="G25" s="16" t="inlineStr"/>
      <c r="H25" s="5" t="n"/>
      <c r="I25" s="5" t="n"/>
      <c r="J25" s="5" t="n"/>
    </row>
    <row r="26" ht="6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20" customHeight="1">
      <c r="A27" s="6" t="inlineStr">
        <is>
          <t>D.  NOTES</t>
        </is>
      </c>
    </row>
    <row r="28" ht="18" customHeight="1">
      <c r="A28" s="18" t="inlineStr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20" t="n"/>
    </row>
    <row r="29" ht="18" customHeight="1">
      <c r="A29" s="18" t="inlineStr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20" t="n"/>
    </row>
    <row r="30" ht="18" customHeight="1">
      <c r="A30" s="18" t="inlineStr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20" t="n"/>
    </row>
    <row r="31" ht="18" customHeight="1">
      <c r="A31" s="18" t="inlineStr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20" t="n"/>
    </row>
    <row r="32" ht="6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 ht="20" customHeight="1">
      <c r="A33" s="6" t="inlineStr">
        <is>
          <t>SIGN-OFF</t>
        </is>
      </c>
    </row>
    <row r="34" ht="18" customHeight="1">
      <c r="A34" s="21" t="inlineStr">
        <is>
          <t>Prepared by:</t>
        </is>
      </c>
      <c r="B34" s="22" t="inlineStr">
        <is>
          <t>Name:</t>
        </is>
      </c>
      <c r="C34" s="23" t="inlineStr">
        <is>
          <t>{{preparer}}</t>
        </is>
      </c>
      <c r="D34" s="24" t="n"/>
      <c r="E34" s="24" t="n"/>
      <c r="F34" s="22" t="inlineStr">
        <is>
          <t>Date:</t>
        </is>
      </c>
      <c r="G34" s="23" t="inlineStr">
        <is>
          <t>{{date_prepared}}</t>
        </is>
      </c>
      <c r="H34" s="24" t="n"/>
      <c r="I34" s="24" t="n"/>
      <c r="J34" s="24" t="n"/>
    </row>
    <row r="35" ht="18" customHeight="1">
      <c r="A35" s="21" t="inlineStr">
        <is>
          <t>Reviewed by:</t>
        </is>
      </c>
      <c r="B35" s="22" t="inlineStr">
        <is>
          <t>Name:</t>
        </is>
      </c>
      <c r="C35" s="23" t="inlineStr">
        <is>
          <t>{{reviewer}}</t>
        </is>
      </c>
      <c r="D35" s="24" t="n"/>
      <c r="E35" s="24" t="n"/>
      <c r="F35" s="22" t="inlineStr">
        <is>
          <t>Date:</t>
        </is>
      </c>
      <c r="G35" s="23" t="inlineStr">
        <is>
          <t>{{date_reviewed}}</t>
        </is>
      </c>
      <c r="H35" s="24" t="n"/>
      <c r="I35" s="24" t="n"/>
      <c r="J35" s="24" t="n"/>
    </row>
    <row r="36" ht="18" customHeight="1">
      <c r="A36" s="21" t="inlineStr">
        <is>
          <t>Notes:</t>
        </is>
      </c>
      <c r="B36" s="24" t="inlineStr"/>
      <c r="C36" s="24" t="n"/>
      <c r="D36" s="24" t="n"/>
      <c r="E36" s="24" t="n"/>
      <c r="F36" s="24" t="n"/>
      <c r="G36" s="24" t="n"/>
      <c r="H36" s="24" t="n"/>
      <c r="I36" s="24" t="n"/>
      <c r="J36" s="24" t="n"/>
    </row>
  </sheetData>
  <mergeCells count="17">
    <mergeCell ref="A1:J1"/>
    <mergeCell ref="B2:C2"/>
    <mergeCell ref="A31:J31"/>
    <mergeCell ref="G35:J35"/>
    <mergeCell ref="I2:J2"/>
    <mergeCell ref="A27:J27"/>
    <mergeCell ref="G34:J34"/>
    <mergeCell ref="A30:J30"/>
    <mergeCell ref="B36:J36"/>
    <mergeCell ref="A12:J12"/>
    <mergeCell ref="A4:J4"/>
    <mergeCell ref="A29:J29"/>
    <mergeCell ref="A20:J20"/>
    <mergeCell ref="C35:E35"/>
    <mergeCell ref="C34:E34"/>
    <mergeCell ref="A28:J28"/>
    <mergeCell ref="A33:J33"/>
  </mergeCells>
  <conditionalFormatting sqref="G6:G10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D14:D18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F22:F25">
    <cfRule type="cellIs" priority="5" operator="lessThan" dxfId="0">
      <formula>0</formula>
    </cfRule>
    <cfRule type="cellIs" priority="6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2026-03-19T10:45:02Z</dcterms:created>
  <dcterms:modified xmlns:dcterms="http://purl.org/dc/terms/" xmlns:xsi="http://www.w3.org/2001/XMLSchema-instance" xsi:type="dcterms:W3CDTF">2026-03-19T10:45:03Z</dcterms:modified>
</cp:coreProperties>
</file>